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700945903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5a29cbc9d74978"/>
    <x:sheet xmlns:r="http://schemas.openxmlformats.org/officeDocument/2006/relationships" name="Inventory" sheetId="2" r:id="R42fd8ddc3c2f40b7"/>
    <x:sheet xmlns:r="http://schemas.openxmlformats.org/officeDocument/2006/relationships" name="QualityInspections" sheetId="3" r:id="R3f1f1ee810ed458c"/>
    <x:sheet xmlns:r="http://schemas.openxmlformats.org/officeDocument/2006/relationships" name="Suppliers" sheetId="4" r:id="R0e54bd75757c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%"/>
    <x:numFmt numFmtId="202" formatCode="0"/>
    <x:numFmt numFmtId="203" formatCode="yyyy-mm-dd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4252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252D"/>
      </x:patternFill>
    </x:fill>
    <x:fill>
      <x:patternFill patternType="solid">
        <x:fgColor rgb="E8EDF0"/>
      </x:patternFill>
    </x:fill>
    <x:fill>
      <x:patternFill patternType="solid">
        <x:fgColor rgb="0B6574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c41a5ebe2413f" /><Relationship Type="http://schemas.openxmlformats.org/officeDocument/2006/relationships/theme" Target="/xl/theme/theme1.xml" Id="R2f8e76e23fb14532" /><Relationship Type="http://schemas.openxmlformats.org/officeDocument/2006/relationships/sharedStrings" Target="/xl/sharedStrings.xml" Id="Re998de821d1a44ab" /><Relationship Type="http://schemas.openxmlformats.org/officeDocument/2006/relationships/worksheet" Target="/xl/worksheets/sheet1.xml" Id="R5f5a29cbc9d74978" /><Relationship Type="http://schemas.openxmlformats.org/officeDocument/2006/relationships/worksheet" Target="/xl/worksheets/sheet2.xml" Id="R42fd8ddc3c2f40b7" /><Relationship Type="http://schemas.openxmlformats.org/officeDocument/2006/relationships/worksheet" Target="/xl/worksheets/sheet3.xml" Id="R3f1f1ee810ed458c" /><Relationship Type="http://schemas.openxmlformats.org/officeDocument/2006/relationships/worksheet" Target="/xl/worksheets/sheet4.xml" Id="R0e54bd75757c469c" /></Relationships>
</file>

<file path=xl/tables/table1.xml><?xml version="1.0" encoding="utf-8"?>
<x:table xmlns:x="http://schemas.openxmlformats.org/spreadsheetml/2006/main" id="1" name="InventoryTable" displayName="InventoryTable" ref="A1:G13" headerRowCount="1">
  <x:autoFilter ref="A1:G13"/>
  <x:tableColumns count="7">
    <x:tableColumn id="1" name="sku"/>
    <x:tableColumn id="2" name="material_family"/>
    <x:tableColumn id="3" name="warehouse"/>
    <x:tableColumn id="4" name="quantity_tons"/>
    <x:tableColumn id="5" name="unit_cost"/>
    <x:tableColumn id="6" name="inventory_value"/>
    <x:tableColumn id="7" name="reorder_point"/>
  </x:tableColumns>
  <x:tableStyleInfo name="TableStyleMedium2" showRowStripes="1"/>
</x:table>
</file>

<file path=xl/tables/table2.xml><?xml version="1.0" encoding="utf-8"?>
<x:table xmlns:x="http://schemas.openxmlformats.org/spreadsheetml/2006/main" id="2" name="InspectionsTable" displayName="InspectionsTable" ref="A1:G13" headerRowCount="1">
  <x:autoFilter ref="A1:G13"/>
  <x:tableColumns count="7">
    <x:tableColumn id="1" name="inspection_id"/>
    <x:tableColumn id="2" name="sku"/>
    <x:tableColumn id="3" name="inspection_date"/>
    <x:tableColumn id="4" name="sample_size"/>
    <x:tableColumn id="5" name="defect_rate"/>
    <x:tableColumn id="6" name="disposition"/>
    <x:tableColumn id="7" name="inspector"/>
  </x:tableColumns>
  <x:tableStyleInfo name="TableStyleMedium2" showRowStripes="1"/>
</x:table>
</file>

<file path=xl/tables/table3.xml><?xml version="1.0" encoding="utf-8"?>
<x:table xmlns:x="http://schemas.openxmlformats.org/spreadsheetml/2006/main" id="3" name="SuppliersTable" displayName="SuppliersTable" ref="A1:E13" headerRowCount="1">
  <x:autoFilter ref="A1:E13"/>
  <x:tableColumns count="5">
    <x:tableColumn id="1" name="sku"/>
    <x:tableColumn id="2" name="supplier"/>
    <x:tableColumn id="3" name="country"/>
    <x:tableColumn id="4" name="lead_time_days"/>
    <x:tableColumn id="5" name="contract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a8e0bbd699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c4bc6485f241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f864b8220d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0099983215332" hidden="0" customWidth="1"/>
    <x:col min="2" max="2" width="5.889999866485596" hidden="0" customWidth="1"/>
    <x:col min="3" max="3" width="6.989999771118164" hidden="0" customWidth="1"/>
  </x:cols>
  <x:sheetData>
    <x:row r="1">
      <x:c r="A1" s="2" t="str">
        <x:v>Inventory Quality Example</x:v>
      </x:c>
    </x:row>
    <x:row r="2">
      <x:c r="A2" s="4" t="str">
        <x:v>Sample workbook for stock, supplier, and quality analysis.</x:v>
      </x:c>
    </x:row>
    <x:row r="4">
      <x:c r="A4" s="6" t="str">
        <x:v>Metric</x:v>
      </x:c>
      <x:c r="B4" s="6" t="str">
        <x:v>Value</x:v>
      </x:c>
      <x:c r="C4" s="6" t="str">
        <x:v>Formula</x:v>
      </x:c>
    </x:row>
    <x:row r="5">
      <x:c r="A5" t="str">
        <x:v>Total inventory value</x:v>
      </x:c>
      <x:c r="B5" s="7" t="n">
        <x:f>C5</x:f>
        <x:v>974390</x:v>
      </x:c>
      <x:c r="C5" t="n">
        <x:f>SUM(Inventory!F2:F13)</x:f>
        <x:v>974390</x:v>
      </x:c>
    </x:row>
    <x:row r="6">
      <x:c r="A6" t="str">
        <x:v>Lots on hold</x:v>
      </x:c>
      <x:c r="B6" t="n">
        <x:f>C6</x:f>
        <x:v>3</x:v>
      </x:c>
      <x:c r="C6" t="n">
        <x:f>COUNTIF(QualityInspections!F2:F13,"hold")</x:f>
        <x:v>3</x:v>
      </x:c>
    </x:row>
    <x:row r="7">
      <x:c r="A7" t="str">
        <x:v>Average defect rate</x:v>
      </x:c>
      <x:c r="B7" s="8" t="n">
        <x:f>C7</x:f>
        <x:v>0.030500000000000003</x:v>
      </x:c>
      <x:c r="C7" t="n">
        <x:f>AVERAGE(QualityInspections!E2:E13)</x:f>
        <x:v>0.030500000000000003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6.31999969482422" hidden="0" customWidth="1"/>
    <x:col min="3" max="3" width="8.710000038146973" hidden="0" customWidth="1"/>
    <x:col min="4" max="4" width="10.800000190734863" hidden="0" customWidth="1"/>
    <x:col min="5" max="5" width="7.239999771118164" hidden="0" customWidth="1"/>
    <x:col min="6" max="6" width="12.390000343322754" hidden="0" customWidth="1"/>
    <x:col min="7" max="7" width="10.670000076293945" hidden="0" customWidth="1"/>
  </x:cols>
  <x:sheetData>
    <x:row r="1" ht="15" hidden="0" customHeight="1">
      <x:c r="A1" s="6" t="str">
        <x:v>sku</x:v>
      </x:c>
      <x:c r="B1" s="6" t="str">
        <x:v>material_family</x:v>
      </x:c>
      <x:c r="C1" s="6" t="str">
        <x:v>warehouse</x:v>
      </x:c>
      <x:c r="D1" s="6" t="str">
        <x:v>quantity_tons</x:v>
      </x:c>
      <x:c r="E1" s="6" t="str">
        <x:v>unit_cost</x:v>
      </x:c>
      <x:c r="F1" s="6" t="str">
        <x:v>inventory_value</x:v>
      </x:c>
      <x:c r="G1" s="6" t="str">
        <x:v>reorder_point</x:v>
      </x:c>
    </x:row>
    <x:row r="2" ht="15" hidden="0" customHeight="1">
      <x:c r="A2" t="str">
        <x:v>SC-100</x:v>
      </x:c>
      <x:c r="B2" t="str">
        <x:v>Specialty Chemicals</x:v>
      </x:c>
      <x:c r="C2" t="str">
        <x:v>Dammam</x:v>
      </x:c>
      <x:c r="D2" s="9" t="n">
        <x:v>84</x:v>
      </x:c>
      <x:c r="E2" s="7" t="n">
        <x:v>1120</x:v>
      </x:c>
      <x:c r="F2" s="7" t="n">
        <x:v>94080</x:v>
      </x:c>
      <x:c r="G2" s="9" t="n">
        <x:v>65</x:v>
      </x:c>
    </x:row>
    <x:row r="3" ht="15" hidden="0" customHeight="1">
      <x:c r="A3" t="str">
        <x:v>SC-140</x:v>
      </x:c>
      <x:c r="B3" t="str">
        <x:v>Specialty Chemicals</x:v>
      </x:c>
      <x:c r="C3" t="str">
        <x:v>Rotterdam</x:v>
      </x:c>
      <x:c r="D3" s="9" t="n">
        <x:v>62</x:v>
      </x:c>
      <x:c r="E3" s="7" t="n">
        <x:v>1240</x:v>
      </x:c>
      <x:c r="F3" s="7" t="n">
        <x:v>76880</x:v>
      </x:c>
      <x:c r="G3" s="9" t="n">
        <x:v>55</x:v>
      </x:c>
    </x:row>
    <x:row r="4" ht="15" hidden="0" customHeight="1">
      <x:c r="A4" t="str">
        <x:v>PL-220</x:v>
      </x:c>
      <x:c r="B4" t="str">
        <x:v>Polymers</x:v>
      </x:c>
      <x:c r="C4" t="str">
        <x:v>Jubail</x:v>
      </x:c>
      <x:c r="D4" s="9" t="n">
        <x:v>210</x:v>
      </x:c>
      <x:c r="E4" s="7" t="n">
        <x:v>780</x:v>
      </x:c>
      <x:c r="F4" s="7" t="n">
        <x:v>163800</x:v>
      </x:c>
      <x:c r="G4" s="9" t="n">
        <x:v>180</x:v>
      </x:c>
    </x:row>
    <x:row r="5" ht="15" hidden="0" customHeight="1">
      <x:c r="A5" t="str">
        <x:v>PL-260</x:v>
      </x:c>
      <x:c r="B5" t="str">
        <x:v>Polymers</x:v>
      </x:c>
      <x:c r="C5" t="str">
        <x:v>Houston</x:v>
      </x:c>
      <x:c r="D5" s="9" t="n">
        <x:v>176</x:v>
      </x:c>
      <x:c r="E5" s="7" t="n">
        <x:v>815</x:v>
      </x:c>
      <x:c r="F5" s="7" t="n">
        <x:v>143440</x:v>
      </x:c>
      <x:c r="G5" s="9" t="n">
        <x:v>150</x:v>
      </x:c>
    </x:row>
    <x:row r="6" ht="15" hidden="0" customHeight="1">
      <x:c r="A6" t="str">
        <x:v>AG-310</x:v>
      </x:c>
      <x:c r="B6" t="str">
        <x:v>Agri-Nutrients</x:v>
      </x:c>
      <x:c r="C6" t="str">
        <x:v>Dammam</x:v>
      </x:c>
      <x:c r="D6" s="9" t="n">
        <x:v>118</x:v>
      </x:c>
      <x:c r="E6" s="7" t="n">
        <x:v>540</x:v>
      </x:c>
      <x:c r="F6" s="7" t="n">
        <x:v>63720</x:v>
      </x:c>
      <x:c r="G6" s="9" t="n">
        <x:v>95</x:v>
      </x:c>
    </x:row>
    <x:row r="7" ht="15" hidden="0" customHeight="1">
      <x:c r="A7" t="str">
        <x:v>AG-350</x:v>
      </x:c>
      <x:c r="B7" t="str">
        <x:v>Agri-Nutrients</x:v>
      </x:c>
      <x:c r="C7" t="str">
        <x:v>Singapore</x:v>
      </x:c>
      <x:c r="D7" s="9" t="n">
        <x:v>92</x:v>
      </x:c>
      <x:c r="E7" s="7" t="n">
        <x:v>575</x:v>
      </x:c>
      <x:c r="F7" s="7" t="n">
        <x:v>52900</x:v>
      </x:c>
      <x:c r="G7" s="9" t="n">
        <x:v>100</x:v>
      </x:c>
    </x:row>
    <x:row r="8" ht="15" hidden="0" customHeight="1">
      <x:c r="A8" t="str">
        <x:v>MT-410</x:v>
      </x:c>
      <x:c r="B8" t="str">
        <x:v>Metals</x:v>
      </x:c>
      <x:c r="C8" t="str">
        <x:v>Rotterdam</x:v>
      </x:c>
      <x:c r="D8" s="9" t="n">
        <x:v>73</x:v>
      </x:c>
      <x:c r="E8" s="7" t="n">
        <x:v>980</x:v>
      </x:c>
      <x:c r="F8" s="7" t="n">
        <x:v>71540</x:v>
      </x:c>
      <x:c r="G8" s="9" t="n">
        <x:v>60</x:v>
      </x:c>
    </x:row>
    <x:row r="9" ht="15" hidden="0" customHeight="1">
      <x:c r="A9" t="str">
        <x:v>MT-460</x:v>
      </x:c>
      <x:c r="B9" t="str">
        <x:v>Metals</x:v>
      </x:c>
      <x:c r="C9" t="str">
        <x:v>Houston</x:v>
      </x:c>
      <x:c r="D9" s="9" t="n">
        <x:v>48</x:v>
      </x:c>
      <x:c r="E9" s="7" t="n">
        <x:v>1020</x:v>
      </x:c>
      <x:c r="F9" s="7" t="n">
        <x:v>48960</x:v>
      </x:c>
      <x:c r="G9" s="9" t="n">
        <x:v>50</x:v>
      </x:c>
    </x:row>
    <x:row r="10" ht="15" hidden="0" customHeight="1">
      <x:c r="A10" t="str">
        <x:v>PK-510</x:v>
      </x:c>
      <x:c r="B10" t="str">
        <x:v>Packaging</x:v>
      </x:c>
      <x:c r="C10" t="str">
        <x:v>Singapore</x:v>
      </x:c>
      <x:c r="D10" s="9" t="n">
        <x:v>132</x:v>
      </x:c>
      <x:c r="E10" s="7" t="n">
        <x:v>420</x:v>
      </x:c>
      <x:c r="F10" s="7" t="n">
        <x:v>55440</x:v>
      </x:c>
      <x:c r="G10" s="9" t="n">
        <x:v>120</x:v>
      </x:c>
    </x:row>
    <x:row r="11" ht="15" hidden="0" customHeight="1">
      <x:c r="A11" t="str">
        <x:v>PK-560</x:v>
      </x:c>
      <x:c r="B11" t="str">
        <x:v>Packaging</x:v>
      </x:c>
      <x:c r="C11" t="str">
        <x:v>Jubail</x:v>
      </x:c>
      <x:c r="D11" s="9" t="n">
        <x:v>154</x:v>
      </x:c>
      <x:c r="E11" s="7" t="n">
        <x:v>405</x:v>
      </x:c>
      <x:c r="F11" s="7" t="n">
        <x:v>62370</x:v>
      </x:c>
      <x:c r="G11" s="9" t="n">
        <x:v>130</x:v>
      </x:c>
    </x:row>
    <x:row r="12" ht="15" hidden="0" customHeight="1">
      <x:c r="A12" t="str">
        <x:v>AD-620</x:v>
      </x:c>
      <x:c r="B12" t="str">
        <x:v>Additives</x:v>
      </x:c>
      <x:c r="C12" t="str">
        <x:v>Dammam</x:v>
      </x:c>
      <x:c r="D12" s="9" t="n">
        <x:v>37</x:v>
      </x:c>
      <x:c r="E12" s="7" t="n">
        <x:v>1820</x:v>
      </x:c>
      <x:c r="F12" s="7" t="n">
        <x:v>67340</x:v>
      </x:c>
      <x:c r="G12" s="9" t="n">
        <x:v>45</x:v>
      </x:c>
    </x:row>
    <x:row r="13" ht="15" hidden="0" customHeight="1">
      <x:c r="A13" t="str">
        <x:v>AD-660</x:v>
      </x:c>
      <x:c r="B13" t="str">
        <x:v>Additives</x:v>
      </x:c>
      <x:c r="C13" t="str">
        <x:v>Rotterdam</x:v>
      </x:c>
      <x:c r="D13" s="9" t="n">
        <x:v>42</x:v>
      </x:c>
      <x:c r="E13" s="7" t="n">
        <x:v>1760</x:v>
      </x:c>
      <x:c r="F13" s="7" t="n">
        <x:v>73920</x:v>
      </x:c>
      <x:c r="G13" s="9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95a8e0bbd69943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550000190734863" hidden="0" customWidth="1"/>
    <x:col min="2" max="2" width="6.130000114440918" hidden="0" customWidth="1"/>
    <x:col min="3" max="3" width="12.760000228881836" hidden="0" customWidth="1"/>
    <x:col min="4" max="4" width="9.819999694824219" hidden="0" customWidth="1"/>
    <x:col min="5" max="5" width="8.960000038146973" hidden="0" customWidth="1"/>
    <x:col min="6" max="6" width="8.710000038146973" hidden="0" customWidth="1"/>
    <x:col min="7" max="7" width="7.480000019073486" hidden="0" customWidth="1"/>
  </x:cols>
  <x:sheetData>
    <x:row r="1" ht="15" hidden="0" customHeight="1">
      <x:c r="A1" s="6" t="str">
        <x:v>inspection_id</x:v>
      </x:c>
      <x:c r="B1" s="6" t="str">
        <x:v>sku</x:v>
      </x:c>
      <x:c r="C1" s="6" t="str">
        <x:v>inspection_date</x:v>
      </x:c>
      <x:c r="D1" s="6" t="str">
        <x:v>sample_size</x:v>
      </x:c>
      <x:c r="E1" s="6" t="str">
        <x:v>defect_rate</x:v>
      </x:c>
      <x:c r="F1" s="6" t="str">
        <x:v>disposition</x:v>
      </x:c>
      <x:c r="G1" s="6" t="str">
        <x:v>inspector</x:v>
      </x:c>
    </x:row>
    <x:row r="2" ht="15" hidden="0" customHeight="1">
      <x:c r="A2" t="n">
        <x:v>501</x:v>
      </x:c>
      <x:c r="B2" t="str">
        <x:v>SC-100</x:v>
      </x:c>
      <x:c r="C2" s="10" t="n">
        <x:v>45667</x:v>
      </x:c>
      <x:c r="D2" t="n">
        <x:v>120</x:v>
      </x:c>
      <x:c r="E2" s="8" t="n">
        <x:v>0.012</x:v>
      </x:c>
      <x:c r="F2" t="str">
        <x:v>release</x:v>
      </x:c>
      <x:c r="G2" t="str">
        <x:v>Nora</x:v>
      </x:c>
    </x:row>
    <x:row r="3" ht="15" hidden="0" customHeight="1">
      <x:c r="A3" t="n">
        <x:v>502</x:v>
      </x:c>
      <x:c r="B3" t="str">
        <x:v>SC-140</x:v>
      </x:c>
      <x:c r="C3" s="10" t="n">
        <x:v>45673</x:v>
      </x:c>
      <x:c r="D3" t="n">
        <x:v>100</x:v>
      </x:c>
      <x:c r="E3" s="8" t="n">
        <x:v>0.024</x:v>
      </x:c>
      <x:c r="F3" t="str">
        <x:v>release</x:v>
      </x:c>
      <x:c r="G3" t="str">
        <x:v>Omar</x:v>
      </x:c>
    </x:row>
    <x:row r="4" ht="15" hidden="0" customHeight="1">
      <x:c r="A4" t="n">
        <x:v>503</x:v>
      </x:c>
      <x:c r="B4" t="str">
        <x:v>PL-220</x:v>
      </x:c>
      <x:c r="C4" s="10" t="n">
        <x:v>45685</x:v>
      </x:c>
      <x:c r="D4" t="n">
        <x:v>180</x:v>
      </x:c>
      <x:c r="E4" s="8" t="n">
        <x:v>0.041</x:v>
      </x:c>
      <x:c r="F4" t="str">
        <x:v>hold</x:v>
      </x:c>
      <x:c r="G4" t="str">
        <x:v>Mina</x:v>
      </x:c>
    </x:row>
    <x:row r="5" ht="15" hidden="0" customHeight="1">
      <x:c r="A5" t="n">
        <x:v>504</x:v>
      </x:c>
      <x:c r="B5" t="str">
        <x:v>PL-260</x:v>
      </x:c>
      <x:c r="C5" s="10" t="n">
        <x:v>45696</x:v>
      </x:c>
      <x:c r="D5" t="n">
        <x:v>150</x:v>
      </x:c>
      <x:c r="E5" s="8" t="n">
        <x:v>0.018</x:v>
      </x:c>
      <x:c r="F5" t="str">
        <x:v>release</x:v>
      </x:c>
      <x:c r="G5" t="str">
        <x:v>Nora</x:v>
      </x:c>
    </x:row>
    <x:row r="6" ht="15" hidden="0" customHeight="1">
      <x:c r="A6" t="n">
        <x:v>505</x:v>
      </x:c>
      <x:c r="B6" t="str">
        <x:v>AG-310</x:v>
      </x:c>
      <x:c r="C6" s="10" t="n">
        <x:v>45707</x:v>
      </x:c>
      <x:c r="D6" t="n">
        <x:v>140</x:v>
      </x:c>
      <x:c r="E6" s="8" t="n">
        <x:v>0.035</x:v>
      </x:c>
      <x:c r="F6" t="str">
        <x:v>review</x:v>
      </x:c>
      <x:c r="G6" t="str">
        <x:v>Omar</x:v>
      </x:c>
    </x:row>
    <x:row r="7" ht="15" hidden="0" customHeight="1">
      <x:c r="A7" t="n">
        <x:v>506</x:v>
      </x:c>
      <x:c r="B7" t="str">
        <x:v>AG-350</x:v>
      </x:c>
      <x:c r="C7" s="10" t="n">
        <x:v>45713</x:v>
      </x:c>
      <x:c r="D7" t="n">
        <x:v>130</x:v>
      </x:c>
      <x:c r="E7" s="8" t="n">
        <x:v>0.028</x:v>
      </x:c>
      <x:c r="F7" t="str">
        <x:v>release</x:v>
      </x:c>
      <x:c r="G7" t="str">
        <x:v>Mina</x:v>
      </x:c>
    </x:row>
    <x:row r="8" ht="15" hidden="0" customHeight="1">
      <x:c r="A8" t="n">
        <x:v>507</x:v>
      </x:c>
      <x:c r="B8" t="str">
        <x:v>MT-410</x:v>
      </x:c>
      <x:c r="C8" s="10" t="n">
        <x:v>45725</x:v>
      </x:c>
      <x:c r="D8" t="n">
        <x:v>90</x:v>
      </x:c>
      <x:c r="E8" s="8" t="n">
        <x:v>0.052</x:v>
      </x:c>
      <x:c r="F8" t="str">
        <x:v>hold</x:v>
      </x:c>
      <x:c r="G8" t="str">
        <x:v>Nora</x:v>
      </x:c>
    </x:row>
    <x:row r="9" ht="15" hidden="0" customHeight="1">
      <x:c r="A9" t="n">
        <x:v>508</x:v>
      </x:c>
      <x:c r="B9" t="str">
        <x:v>MT-460</x:v>
      </x:c>
      <x:c r="C9" s="10" t="n">
        <x:v>45733</x:v>
      </x:c>
      <x:c r="D9" t="n">
        <x:v>85</x:v>
      </x:c>
      <x:c r="E9" s="8" t="n">
        <x:v>0.019</x:v>
      </x:c>
      <x:c r="F9" t="str">
        <x:v>release</x:v>
      </x:c>
      <x:c r="G9" t="str">
        <x:v>Omar</x:v>
      </x:c>
    </x:row>
    <x:row r="10" ht="15" hidden="0" customHeight="1">
      <x:c r="A10" t="n">
        <x:v>509</x:v>
      </x:c>
      <x:c r="B10" t="str">
        <x:v>PK-510</x:v>
      </x:c>
      <x:c r="C10" s="10" t="n">
        <x:v>45744</x:v>
      </x:c>
      <x:c r="D10" t="n">
        <x:v>110</x:v>
      </x:c>
      <x:c r="E10" s="8" t="n">
        <x:v>0.026</x:v>
      </x:c>
      <x:c r="F10" t="str">
        <x:v>release</x:v>
      </x:c>
      <x:c r="G10" t="str">
        <x:v>Mina</x:v>
      </x:c>
    </x:row>
    <x:row r="11" ht="15" hidden="0" customHeight="1">
      <x:c r="A11" t="n">
        <x:v>510</x:v>
      </x:c>
      <x:c r="B11" t="str">
        <x:v>PK-560</x:v>
      </x:c>
      <x:c r="C11" s="10" t="n">
        <x:v>45750</x:v>
      </x:c>
      <x:c r="D11" t="n">
        <x:v>115</x:v>
      </x:c>
      <x:c r="E11" s="8" t="n">
        <x:v>0.033</x:v>
      </x:c>
      <x:c r="F11" t="str">
        <x:v>review</x:v>
      </x:c>
      <x:c r="G11" t="str">
        <x:v>Nora</x:v>
      </x:c>
    </x:row>
    <x:row r="12" ht="15" hidden="0" customHeight="1">
      <x:c r="A12" t="n">
        <x:v>511</x:v>
      </x:c>
      <x:c r="B12" t="str">
        <x:v>AD-620</x:v>
      </x:c>
      <x:c r="C12" s="10" t="n">
        <x:v>45759</x:v>
      </x:c>
      <x:c r="D12" t="n">
        <x:v>75</x:v>
      </x:c>
      <x:c r="E12" s="8" t="n">
        <x:v>0.061</x:v>
      </x:c>
      <x:c r="F12" t="str">
        <x:v>hold</x:v>
      </x:c>
      <x:c r="G12" t="str">
        <x:v>Omar</x:v>
      </x:c>
    </x:row>
    <x:row r="13" ht="15" hidden="0" customHeight="1">
      <x:c r="A13" t="n">
        <x:v>512</x:v>
      </x:c>
      <x:c r="B13" t="str">
        <x:v>AD-660</x:v>
      </x:c>
      <x:c r="C13" s="10" t="n">
        <x:v>45768</x:v>
      </x:c>
      <x:c r="D13" t="n">
        <x:v>70</x:v>
      </x:c>
      <x:c r="E13" s="8" t="n">
        <x:v>0.017</x:v>
      </x:c>
      <x:c r="F13" t="str">
        <x:v>release</x:v>
      </x:c>
      <x:c r="G13" t="str">
        <x:v>Mina</x:v>
      </x:c>
    </x:row>
  </x:sheetData>
  <x:pageMargins left="0.7" right="0.7" top="0.75" bottom="0.75" header="0.3" footer="0.3"/>
  <x:tableParts count="1">
    <x:tablePart xmlns:r="http://schemas.openxmlformats.org/officeDocument/2006/relationships" r:id="R90c4bc6485f241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9.449999809265137" hidden="0" customWidth="1"/>
    <x:col min="3" max="3" width="10.180000305175781" hidden="0" customWidth="1"/>
    <x:col min="4" max="4" width="12.390000343322754" hidden="0" customWidth="1"/>
    <x:col min="5" max="5" width="12.390000343322754" hidden="0" customWidth="1"/>
  </x:cols>
  <x:sheetData>
    <x:row r="1" ht="15" hidden="0" customHeight="1">
      <x:c r="A1" s="6" t="str">
        <x:v>sku</x:v>
      </x:c>
      <x:c r="B1" s="6" t="str">
        <x:v>supplier</x:v>
      </x:c>
      <x:c r="C1" s="6" t="str">
        <x:v>country</x:v>
      </x:c>
      <x:c r="D1" s="6" t="str">
        <x:v>lead_time_days</x:v>
      </x:c>
      <x:c r="E1" s="6" t="str">
        <x:v>contract_status</x:v>
      </x:c>
    </x:row>
    <x:row r="2" ht="15" hidden="0" customHeight="1">
      <x:c r="A2" t="str">
        <x:v>SC-100</x:v>
      </x:c>
      <x:c r="B2" t="str">
        <x:v>NovaChem</x:v>
      </x:c>
      <x:c r="C2" t="str">
        <x:v>Germany</x:v>
      </x:c>
      <x:c r="D2" t="n">
        <x:v>21</x:v>
      </x:c>
      <x:c r="E2" t="str">
        <x:v>active</x:v>
      </x:c>
    </x:row>
    <x:row r="3" ht="15" hidden="0" customHeight="1">
      <x:c r="A3" t="str">
        <x:v>SC-140</x:v>
      </x:c>
      <x:c r="B3" t="str">
        <x:v>NovaChem</x:v>
      </x:c>
      <x:c r="C3" t="str">
        <x:v>Germany</x:v>
      </x:c>
      <x:c r="D3" t="n">
        <x:v>24</x:v>
      </x:c>
      <x:c r="E3" t="str">
        <x:v>active</x:v>
      </x:c>
    </x:row>
    <x:row r="4" ht="15" hidden="0" customHeight="1">
      <x:c r="A4" t="str">
        <x:v>PL-220</x:v>
      </x:c>
      <x:c r="B4" t="str">
        <x:v>PolySource</x:v>
      </x:c>
      <x:c r="C4" t="str">
        <x:v>Saudi Arabia</x:v>
      </x:c>
      <x:c r="D4" t="n">
        <x:v>12</x:v>
      </x:c>
      <x:c r="E4" t="str">
        <x:v>active</x:v>
      </x:c>
    </x:row>
    <x:row r="5" ht="15" hidden="0" customHeight="1">
      <x:c r="A5" t="str">
        <x:v>PL-260</x:v>
      </x:c>
      <x:c r="B5" t="str">
        <x:v>PolySource</x:v>
      </x:c>
      <x:c r="C5" t="str">
        <x:v>Saudi Arabia</x:v>
      </x:c>
      <x:c r="D5" t="n">
        <x:v>14</x:v>
      </x:c>
      <x:c r="E5" t="str">
        <x:v>active</x:v>
      </x:c>
    </x:row>
    <x:row r="6" ht="15" hidden="0" customHeight="1">
      <x:c r="A6" t="str">
        <x:v>AG-310</x:v>
      </x:c>
      <x:c r="B6" t="str">
        <x:v>GreenYield</x:v>
      </x:c>
      <x:c r="C6" t="str">
        <x:v>UAE</x:v>
      </x:c>
      <x:c r="D6" t="n">
        <x:v>18</x:v>
      </x:c>
      <x:c r="E6" t="str">
        <x:v>active</x:v>
      </x:c>
    </x:row>
    <x:row r="7" ht="15" hidden="0" customHeight="1">
      <x:c r="A7" t="str">
        <x:v>AG-350</x:v>
      </x:c>
      <x:c r="B7" t="str">
        <x:v>GreenYield</x:v>
      </x:c>
      <x:c r="C7" t="str">
        <x:v>UAE</x:v>
      </x:c>
      <x:c r="D7" t="n">
        <x:v>20</x:v>
      </x:c>
      <x:c r="E7" t="str">
        <x:v>renewal</x:v>
      </x:c>
    </x:row>
    <x:row r="8" ht="15" hidden="0" customHeight="1">
      <x:c r="A8" t="str">
        <x:v>MT-410</x:v>
      </x:c>
      <x:c r="B8" t="str">
        <x:v>MetalWorks</x:v>
      </x:c>
      <x:c r="C8" t="str">
        <x:v>Netherlands</x:v>
      </x:c>
      <x:c r="D8" t="n">
        <x:v>26</x:v>
      </x:c>
      <x:c r="E8" t="str">
        <x:v>active</x:v>
      </x:c>
    </x:row>
    <x:row r="9" ht="15" hidden="0" customHeight="1">
      <x:c r="A9" t="str">
        <x:v>MT-460</x:v>
      </x:c>
      <x:c r="B9" t="str">
        <x:v>MetalWorks</x:v>
      </x:c>
      <x:c r="C9" t="str">
        <x:v>Netherlands</x:v>
      </x:c>
      <x:c r="D9" t="n">
        <x:v>27</x:v>
      </x:c>
      <x:c r="E9" t="str">
        <x:v>renewal</x:v>
      </x:c>
    </x:row>
    <x:row r="10" ht="15" hidden="0" customHeight="1">
      <x:c r="A10" t="str">
        <x:v>PK-510</x:v>
      </x:c>
      <x:c r="B10" t="str">
        <x:v>PackWell</x:v>
      </x:c>
      <x:c r="C10" t="str">
        <x:v>Singapore</x:v>
      </x:c>
      <x:c r="D10" t="n">
        <x:v>16</x:v>
      </x:c>
      <x:c r="E10" t="str">
        <x:v>active</x:v>
      </x:c>
    </x:row>
    <x:row r="11" ht="15" hidden="0" customHeight="1">
      <x:c r="A11" t="str">
        <x:v>PK-560</x:v>
      </x:c>
      <x:c r="B11" t="str">
        <x:v>PackWell</x:v>
      </x:c>
      <x:c r="C11" t="str">
        <x:v>Singapore</x:v>
      </x:c>
      <x:c r="D11" t="n">
        <x:v>15</x:v>
      </x:c>
      <x:c r="E11" t="str">
        <x:v>active</x:v>
      </x:c>
    </x:row>
    <x:row r="12" ht="15" hidden="0" customHeight="1">
      <x:c r="A12" t="str">
        <x:v>AD-620</x:v>
      </x:c>
      <x:c r="B12" t="str">
        <x:v>AddiTech</x:v>
      </x:c>
      <x:c r="C12" t="str">
        <x:v>Japan</x:v>
      </x:c>
      <x:c r="D12" t="n">
        <x:v>30</x:v>
      </x:c>
      <x:c r="E12" t="str">
        <x:v>review</x:v>
      </x:c>
    </x:row>
    <x:row r="13" ht="15" hidden="0" customHeight="1">
      <x:c r="A13" t="str">
        <x:v>AD-660</x:v>
      </x:c>
      <x:c r="B13" t="str">
        <x:v>AddiTech</x:v>
      </x:c>
      <x:c r="C13" t="str">
        <x:v>Japan</x:v>
      </x:c>
      <x:c r="D13" t="n">
        <x:v>29</x:v>
      </x:c>
      <x:c r="E1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47f864b8220d4d67"/>
  </x:tableParts>
</x:worksheet>
</file>