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ed3856dca4c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ac1eab3a4d4ced"/>
    <x:sheet xmlns:r="http://schemas.openxmlformats.org/officeDocument/2006/relationships" name="Projects" sheetId="2" r:id="R3b002be8c62e48a9"/>
    <x:sheet xmlns:r="http://schemas.openxmlformats.org/officeDocument/2006/relationships" name="SpendTransactions" sheetId="3" r:id="R0b9ef8a0f1384e16"/>
    <x:sheet xmlns:r="http://schemas.openxmlformats.org/officeDocument/2006/relationships" name="Milestones" sheetId="4" r:id="Rbf3f21bb2b694c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"/>
    <x:numFmt numFmtId="202" formatCode="yyyy-mm-dd"/>
  </x:numFmts>
  <x:fonts count="4">
    <x:font>
      <x:sz val="11"/>
      <x:name val="Carlito"/>
    </x:font>
    <x:font>
      <x:b/>
      <x:sz val="16"/>
      <x:color rgb="FFFFFF"/>
      <x:name val="Carlito"/>
    </x:font>
    <x:font>
      <x:i/>
      <x:sz val="11"/>
      <x:color rgb="14252D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4252D"/>
      </x:patternFill>
    </x:fill>
    <x:fill>
      <x:patternFill patternType="solid">
        <x:fgColor rgb="E8EDF0"/>
      </x:patternFill>
    </x:fill>
    <x:fill>
      <x:patternFill patternType="solid">
        <x:fgColor rgb="0B6574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661ac1f5c045ec" /><Relationship Type="http://schemas.openxmlformats.org/officeDocument/2006/relationships/theme" Target="/xl/theme/theme1.xml" Id="Rf7cc526ce6d34eaf" /><Relationship Type="http://schemas.openxmlformats.org/officeDocument/2006/relationships/sharedStrings" Target="/xl/sharedStrings.xml" Id="R7e71b10f5dfd4e1d" /><Relationship Type="http://schemas.openxmlformats.org/officeDocument/2006/relationships/worksheet" Target="/xl/worksheets/sheet1.xml" Id="Rc7ac1eab3a4d4ced" /><Relationship Type="http://schemas.openxmlformats.org/officeDocument/2006/relationships/worksheet" Target="/xl/worksheets/sheet2.xml" Id="R3b002be8c62e48a9" /><Relationship Type="http://schemas.openxmlformats.org/officeDocument/2006/relationships/worksheet" Target="/xl/worksheets/sheet3.xml" Id="R0b9ef8a0f1384e16" /><Relationship Type="http://schemas.openxmlformats.org/officeDocument/2006/relationships/worksheet" Target="/xl/worksheets/sheet4.xml" Id="Rbf3f21bb2b694ce9" /></Relationships>
</file>

<file path=xl/tables/table1.xml><?xml version="1.0" encoding="utf-8"?>
<x:table xmlns:x="http://schemas.openxmlformats.org/spreadsheetml/2006/main" id="1" name="ProjectsTable" displayName="ProjectsTable" ref="A1:F7" headerRowCount="1">
  <x:autoFilter ref="A1:F7"/>
  <x:tableColumns count="6">
    <x:tableColumn id="1" name="project_id"/>
    <x:tableColumn id="2" name="project_name"/>
    <x:tableColumn id="3" name="business_unit"/>
    <x:tableColumn id="4" name="region"/>
    <x:tableColumn id="5" name="approved_budget"/>
    <x:tableColumn id="6" name="sponsor"/>
  </x:tableColumns>
  <x:tableStyleInfo name="TableStyleMedium2" showRowStripes="1"/>
</x:table>
</file>

<file path=xl/tables/table2.xml><?xml version="1.0" encoding="utf-8"?>
<x:table xmlns:x="http://schemas.openxmlformats.org/spreadsheetml/2006/main" id="2" name="SpendTable" displayName="SpendTable" ref="A1:G16" headerRowCount="1">
  <x:autoFilter ref="A1:G16"/>
  <x:tableColumns count="7">
    <x:tableColumn id="1" name="transaction_id"/>
    <x:tableColumn id="2" name="project_id"/>
    <x:tableColumn id="3" name="vendor"/>
    <x:tableColumn id="4" name="cost_category"/>
    <x:tableColumn id="5" name="posting_date"/>
    <x:tableColumn id="6" name="amount"/>
    <x:tableColumn id="7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MilestonesTable" displayName="MilestonesTable" ref="A1:F13" headerRowCount="1">
  <x:autoFilter ref="A1:F13"/>
  <x:tableColumns count="6">
    <x:tableColumn id="1" name="milestone_id"/>
    <x:tableColumn id="2" name="project_id"/>
    <x:tableColumn id="3" name="milestone_name"/>
    <x:tableColumn id="4" name="planned_date"/>
    <x:tableColumn id="5" name="actual_date"/>
    <x:tableColumn id="6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e4b9f0d20746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afc43b26054b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1f45ecb65c42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.33000183105469" hidden="0" customWidth="1"/>
    <x:col min="2" max="2" width="4.539999961853027" hidden="0" customWidth="1"/>
    <x:col min="3" max="3" width="6.989999771118164" hidden="0" customWidth="1"/>
  </x:cols>
  <x:sheetData>
    <x:row r="1">
      <x:c r="A1" s="2" t="str">
        <x:v>Project Spend Example</x:v>
      </x:c>
    </x:row>
    <x:row r="2">
      <x:c r="A2" s="4" t="str">
        <x:v>Sample workbook for budget, project, and milestone analysis.</x:v>
      </x:c>
    </x:row>
    <x:row r="4">
      <x:c r="A4" s="6" t="str">
        <x:v>Metric</x:v>
      </x:c>
      <x:c r="B4" s="6" t="str">
        <x:v>Value</x:v>
      </x:c>
      <x:c r="C4" s="6" t="str">
        <x:v>Formula</x:v>
      </x:c>
    </x:row>
    <x:row r="5">
      <x:c r="A5" t="str">
        <x:v>Approved budget</x:v>
      </x:c>
      <x:c r="B5" s="7" t="n">
        <x:f>C5</x:f>
        <x:v>4880000</x:v>
      </x:c>
      <x:c r="C5" t="n">
        <x:f>SUM(Projects!E2:E7)</x:f>
        <x:v>4880000</x:v>
      </x:c>
    </x:row>
    <x:row r="6">
      <x:c r="A6" t="str">
        <x:v>Actual spend</x:v>
      </x:c>
      <x:c r="B6" s="7" t="n">
        <x:f>C6</x:f>
        <x:v>2106000</x:v>
      </x:c>
      <x:c r="C6" t="n">
        <x:f>SUM(SpendTransactions!F2:F16)</x:f>
        <x:v>2106000</x:v>
      </x:c>
    </x:row>
    <x:row r="7">
      <x:c r="A7" t="str">
        <x:v>Committed spend</x:v>
      </x:c>
      <x:c r="B7" s="7" t="n">
        <x:f>C7</x:f>
        <x:v>1047000</x:v>
      </x:c>
      <x:c r="C7" t="n">
        <x:f>SUMIF(SpendTransactions!G2:G16,"committed",SpendTransactions!F2:F16)</x:f>
        <x:v>1047000</x:v>
      </x:c>
    </x:row>
    <x:row r="8">
      <x:c r="A8" t="str">
        <x:v>Milestones at risk</x:v>
      </x:c>
      <x:c r="B8" s="8" t="n">
        <x:f>C8</x:f>
        <x:v>3</x:v>
      </x:c>
      <x:c r="C8" t="n">
        <x:f>COUNTIF(Milestones!F2:F13,"at risk")</x:f>
        <x:v>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49999904632568" hidden="0" customWidth="1"/>
    <x:col min="2" max="2" width="27.360000610351562" hidden="0" customWidth="1"/>
    <x:col min="3" max="3" width="11.529999732971191" hidden="0" customWidth="1"/>
    <x:col min="4" max="4" width="11.529999732971191" hidden="0" customWidth="1"/>
    <x:col min="5" max="5" width="14.109999656677246" hidden="0" customWidth="1"/>
    <x:col min="6" max="6" width="8.829999923706055" hidden="0" customWidth="1"/>
  </x:cols>
  <x:sheetData>
    <x:row r="1" ht="15" hidden="0" customHeight="1">
      <x:c r="A1" s="6" t="str">
        <x:v>project_id</x:v>
      </x:c>
      <x:c r="B1" s="6" t="str">
        <x:v>project_name</x:v>
      </x:c>
      <x:c r="C1" s="6" t="str">
        <x:v>business_unit</x:v>
      </x:c>
      <x:c r="D1" s="6" t="str">
        <x:v>region</x:v>
      </x:c>
      <x:c r="E1" s="6" t="str">
        <x:v>approved_budget</x:v>
      </x:c>
      <x:c r="F1" s="6" t="str">
        <x:v>sponsor</x:v>
      </x:c>
    </x:row>
    <x:row r="2" ht="15" hidden="0" customHeight="1">
      <x:c r="A2" t="str">
        <x:v>P-100</x:v>
      </x:c>
      <x:c r="B2" t="str">
        <x:v>Jubail Energy Optimization</x:v>
      </x:c>
      <x:c r="C2" t="str">
        <x:v>Manufacturing</x:v>
      </x:c>
      <x:c r="D2" t="str">
        <x:v>Middle East</x:v>
      </x:c>
      <x:c r="E2" s="7" t="n">
        <x:v>1250000</x:v>
      </x:c>
      <x:c r="F2" t="str">
        <x:v>A. Rahman</x:v>
      </x:c>
    </x:row>
    <x:row r="3" ht="15" hidden="0" customHeight="1">
      <x:c r="A3" t="str">
        <x:v>P-110</x:v>
      </x:c>
      <x:c r="B3" t="str">
        <x:v>Rotterdam Logistics Upgrade</x:v>
      </x:c>
      <x:c r="C3" t="str">
        <x:v>Supply Chain</x:v>
      </x:c>
      <x:c r="D3" t="str">
        <x:v>Europe</x:v>
      </x:c>
      <x:c r="E3" s="7" t="n">
        <x:v>860000</x:v>
      </x:c>
      <x:c r="F3" t="str">
        <x:v>M. Jensen</x:v>
      </x:c>
    </x:row>
    <x:row r="4" ht="15" hidden="0" customHeight="1">
      <x:c r="A4" t="str">
        <x:v>P-120</x:v>
      </x:c>
      <x:c r="B4" t="str">
        <x:v>Houston Safety Modernization</x:v>
      </x:c>
      <x:c r="C4" t="str">
        <x:v>EHS</x:v>
      </x:c>
      <x:c r="D4" t="str">
        <x:v>North America</x:v>
      </x:c>
      <x:c r="E4" s="7" t="n">
        <x:v>640000</x:v>
      </x:c>
      <x:c r="F4" t="str">
        <x:v>L. Brooks</x:v>
      </x:c>
    </x:row>
    <x:row r="5" ht="15" hidden="0" customHeight="1">
      <x:c r="A5" t="str">
        <x:v>P-130</x:v>
      </x:c>
      <x:c r="B5" t="str">
        <x:v>Singapore Warehouse Automation</x:v>
      </x:c>
      <x:c r="C5" t="str">
        <x:v>Supply Chain</x:v>
      </x:c>
      <x:c r="D5" t="str">
        <x:v>Asia Pacific</x:v>
      </x:c>
      <x:c r="E5" s="7" t="n">
        <x:v>980000</x:v>
      </x:c>
      <x:c r="F5" t="str">
        <x:v>S. Tan</x:v>
      </x:c>
    </x:row>
    <x:row r="6" ht="15" hidden="0" customHeight="1">
      <x:c r="A6" t="str">
        <x:v>P-140</x:v>
      </x:c>
      <x:c r="B6" t="str">
        <x:v>Data Quality Program</x:v>
      </x:c>
      <x:c r="C6" t="str">
        <x:v>Digital</x:v>
      </x:c>
      <x:c r="D6" t="str">
        <x:v>Global</x:v>
      </x:c>
      <x:c r="E6" s="7" t="n">
        <x:v>420000</x:v>
      </x:c>
      <x:c r="F6" t="str">
        <x:v>N. Patel</x:v>
      </x:c>
    </x:row>
    <x:row r="7" ht="15" hidden="0" customHeight="1">
      <x:c r="A7" t="str">
        <x:v>P-150</x:v>
      </x:c>
      <x:c r="B7" t="str">
        <x:v>Customer Portal Phase 2</x:v>
      </x:c>
      <x:c r="C7" t="str">
        <x:v>Commercial</x:v>
      </x:c>
      <x:c r="D7" t="str">
        <x:v>Global</x:v>
      </x:c>
      <x:c r="E7" s="7" t="n">
        <x:v>730000</x:v>
      </x:c>
      <x:c r="F7" t="str">
        <x:v>R. Garcia</x:v>
      </x:c>
    </x:row>
  </x:sheetData>
  <x:pageMargins left="0.7" right="0.7" top="0.75" bottom="0.75" header="0.3" footer="0.3"/>
  <x:tableParts count="1">
    <x:tablePart xmlns:r="http://schemas.openxmlformats.org/officeDocument/2006/relationships" r:id="Rfae4b9f0d207465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289999961853027" hidden="0" customWidth="1"/>
    <x:col min="2" max="2" width="7.849999904632568" hidden="0" customWidth="1"/>
    <x:col min="3" max="3" width="13.25" hidden="0" customWidth="1"/>
    <x:col min="4" max="4" width="11.289999961853027" hidden="0" customWidth="1"/>
    <x:col min="5" max="5" width="10.430000305175781" hidden="0" customWidth="1"/>
    <x:col min="6" max="6" width="6.010000228881836" hidden="0" customWidth="1"/>
    <x:col min="7" max="7" width="8.59000015258789" hidden="0" customWidth="1"/>
  </x:cols>
  <x:sheetData>
    <x:row r="1" ht="15" hidden="0" customHeight="1">
      <x:c r="A1" s="6" t="str">
        <x:v>transaction_id</x:v>
      </x:c>
      <x:c r="B1" s="6" t="str">
        <x:v>project_id</x:v>
      </x:c>
      <x:c r="C1" s="6" t="str">
        <x:v>vendor</x:v>
      </x:c>
      <x:c r="D1" s="6" t="str">
        <x:v>cost_category</x:v>
      </x:c>
      <x:c r="E1" s="6" t="str">
        <x:v>posting_date</x:v>
      </x:c>
      <x:c r="F1" s="6" t="str">
        <x:v>amount</x:v>
      </x:c>
      <x:c r="G1" s="6" t="str">
        <x:v>status</x:v>
      </x:c>
    </x:row>
    <x:row r="2" ht="15" hidden="0" customHeight="1">
      <x:c r="A2" t="n">
        <x:v>9001</x:v>
      </x:c>
      <x:c r="B2" t="str">
        <x:v>P-100</x:v>
      </x:c>
      <x:c r="C2" t="str">
        <x:v>Gulf Engineering</x:v>
      </x:c>
      <x:c r="D2" t="str">
        <x:v>Engineering</x:v>
      </x:c>
      <x:c r="E2" s="9" t="n">
        <x:v>45669</x:v>
      </x:c>
      <x:c r="F2" s="7" t="n">
        <x:v>185000</x:v>
      </x:c>
      <x:c r="G2" t="str">
        <x:v>actual</x:v>
      </x:c>
    </x:row>
    <x:row r="3" ht="15" hidden="0" customHeight="1">
      <x:c r="A3" t="n">
        <x:v>9002</x:v>
      </x:c>
      <x:c r="B3" t="str">
        <x:v>P-100</x:v>
      </x:c>
      <x:c r="C3" t="str">
        <x:v>ControlsCo</x:v>
      </x:c>
      <x:c r="D3" t="str">
        <x:v>Equipment</x:v>
      </x:c>
      <x:c r="E3" s="9" t="n">
        <x:v>45691</x:v>
      </x:c>
      <x:c r="F3" s="7" t="n">
        <x:v>240000</x:v>
      </x:c>
      <x:c r="G3" t="str">
        <x:v>committed</x:v>
      </x:c>
    </x:row>
    <x:row r="4" ht="15" hidden="0" customHeight="1">
      <x:c r="A4" t="n">
        <x:v>9003</x:v>
      </x:c>
      <x:c r="B4" t="str">
        <x:v>P-110</x:v>
      </x:c>
      <x:c r="C4" t="str">
        <x:v>PortSys</x:v>
      </x:c>
      <x:c r="D4" t="str">
        <x:v>Software</x:v>
      </x:c>
      <x:c r="E4" s="9" t="n">
        <x:v>45675</x:v>
      </x:c>
      <x:c r="F4" s="7" t="n">
        <x:v>93000</x:v>
      </x:c>
      <x:c r="G4" t="str">
        <x:v>actual</x:v>
      </x:c>
    </x:row>
    <x:row r="5" ht="15" hidden="0" customHeight="1">
      <x:c r="A5" t="n">
        <x:v>9004</x:v>
      </x:c>
      <x:c r="B5" t="str">
        <x:v>P-110</x:v>
      </x:c>
      <x:c r="C5" t="str">
        <x:v>Delta Movers</x:v>
      </x:c>
      <x:c r="D5" t="str">
        <x:v>Logistics</x:v>
      </x:c>
      <x:c r="E5" s="9" t="n">
        <x:v>45712</x:v>
      </x:c>
      <x:c r="F5" s="7" t="n">
        <x:v>154000</x:v>
      </x:c>
      <x:c r="G5" t="str">
        <x:v>actual</x:v>
      </x:c>
    </x:row>
    <x:row r="6" ht="15" hidden="0" customHeight="1">
      <x:c r="A6" t="n">
        <x:v>9005</x:v>
      </x:c>
      <x:c r="B6" t="str">
        <x:v>P-120</x:v>
      </x:c>
      <x:c r="C6" t="str">
        <x:v>SafeOps</x:v>
      </x:c>
      <x:c r="D6" t="str">
        <x:v>Consulting</x:v>
      </x:c>
      <x:c r="E6" s="9" t="n">
        <x:v>45695</x:v>
      </x:c>
      <x:c r="F6" s="7" t="n">
        <x:v>88000</x:v>
      </x:c>
      <x:c r="G6" t="str">
        <x:v>actual</x:v>
      </x:c>
    </x:row>
    <x:row r="7" ht="15" hidden="0" customHeight="1">
      <x:c r="A7" t="n">
        <x:v>9006</x:v>
      </x:c>
      <x:c r="B7" t="str">
        <x:v>P-120</x:v>
      </x:c>
      <x:c r="C7" t="str">
        <x:v>Shield Systems</x:v>
      </x:c>
      <x:c r="D7" t="str">
        <x:v>Equipment</x:v>
      </x:c>
      <x:c r="E7" s="9" t="n">
        <x:v>45726</x:v>
      </x:c>
      <x:c r="F7" s="7" t="n">
        <x:v>172000</x:v>
      </x:c>
      <x:c r="G7" t="str">
        <x:v>committed</x:v>
      </x:c>
    </x:row>
    <x:row r="8" ht="15" hidden="0" customHeight="1">
      <x:c r="A8" t="n">
        <x:v>9007</x:v>
      </x:c>
      <x:c r="B8" t="str">
        <x:v>P-130</x:v>
      </x:c>
      <x:c r="C8" t="str">
        <x:v>AutoStack</x:v>
      </x:c>
      <x:c r="D8" t="str">
        <x:v>Equipment</x:v>
      </x:c>
      <x:c r="E8" s="9" t="n">
        <x:v>45734</x:v>
      </x:c>
      <x:c r="F8" s="7" t="n">
        <x:v>330000</x:v>
      </x:c>
      <x:c r="G8" t="str">
        <x:v>committed</x:v>
      </x:c>
    </x:row>
    <x:row r="9" ht="15" hidden="0" customHeight="1">
      <x:c r="A9" t="n">
        <x:v>9008</x:v>
      </x:c>
      <x:c r="B9" t="str">
        <x:v>P-130</x:v>
      </x:c>
      <x:c r="C9" t="str">
        <x:v>LeanWorks</x:v>
      </x:c>
      <x:c r="D9" t="str">
        <x:v>Consulting</x:v>
      </x:c>
      <x:c r="E9" s="9" t="n">
        <x:v>45749</x:v>
      </x:c>
      <x:c r="F9" s="7" t="n">
        <x:v>77000</x:v>
      </x:c>
      <x:c r="G9" t="str">
        <x:v>actual</x:v>
      </x:c>
    </x:row>
    <x:row r="10" ht="15" hidden="0" customHeight="1">
      <x:c r="A10" t="n">
        <x:v>9009</x:v>
      </x:c>
      <x:c r="B10" t="str">
        <x:v>P-140</x:v>
      </x:c>
      <x:c r="C10" t="str">
        <x:v>DataForge</x:v>
      </x:c>
      <x:c r="D10" t="str">
        <x:v>Software</x:v>
      </x:c>
      <x:c r="E10" s="9" t="n">
        <x:v>45687</x:v>
      </x:c>
      <x:c r="F10" s="7" t="n">
        <x:v>68000</x:v>
      </x:c>
      <x:c r="G10" t="str">
        <x:v>actual</x:v>
      </x:c>
    </x:row>
    <x:row r="11" ht="15" hidden="0" customHeight="1">
      <x:c r="A11" t="n">
        <x:v>9010</x:v>
      </x:c>
      <x:c r="B11" t="str">
        <x:v>P-140</x:v>
      </x:c>
      <x:c r="C11" t="str">
        <x:v>DataForge</x:v>
      </x:c>
      <x:c r="D11" t="str">
        <x:v>Services</x:v>
      </x:c>
      <x:c r="E11" s="9" t="n">
        <x:v>45738</x:v>
      </x:c>
      <x:c r="F11" s="7" t="n">
        <x:v>96000</x:v>
      </x:c>
      <x:c r="G11" t="str">
        <x:v>committed</x:v>
      </x:c>
    </x:row>
    <x:row r="12" ht="15" hidden="0" customHeight="1">
      <x:c r="A12" t="n">
        <x:v>9011</x:v>
      </x:c>
      <x:c r="B12" t="str">
        <x:v>P-150</x:v>
      </x:c>
      <x:c r="C12" t="str">
        <x:v>PortalSoft</x:v>
      </x:c>
      <x:c r="D12" t="str">
        <x:v>Software</x:v>
      </x:c>
      <x:c r="E12" s="9" t="n">
        <x:v>45703</x:v>
      </x:c>
      <x:c r="F12" s="7" t="n">
        <x:v>126000</x:v>
      </x:c>
      <x:c r="G12" t="str">
        <x:v>actual</x:v>
      </x:c>
    </x:row>
    <x:row r="13" ht="15" hidden="0" customHeight="1">
      <x:c r="A13" t="n">
        <x:v>9012</x:v>
      </x:c>
      <x:c r="B13" t="str">
        <x:v>P-150</x:v>
      </x:c>
      <x:c r="C13" t="str">
        <x:v>UX Studio</x:v>
      </x:c>
      <x:c r="D13" t="str">
        <x:v>Design</x:v>
      </x:c>
      <x:c r="E13" s="9" t="n">
        <x:v>45759</x:v>
      </x:c>
      <x:c r="F13" s="7" t="n">
        <x:v>58000</x:v>
      </x:c>
      <x:c r="G13" t="str">
        <x:v>actual</x:v>
      </x:c>
    </x:row>
    <x:row r="14" ht="15" hidden="0" customHeight="1">
      <x:c r="A14" t="n">
        <x:v>9013</x:v>
      </x:c>
      <x:c r="B14" t="str">
        <x:v>P-100</x:v>
      </x:c>
      <x:c r="C14" t="str">
        <x:v>Gulf Engineering</x:v>
      </x:c>
      <x:c r="D14" t="str">
        <x:v>Construction</x:v>
      </x:c>
      <x:c r="E14" s="9" t="n">
        <x:v>45767</x:v>
      </x:c>
      <x:c r="F14" s="7" t="n">
        <x:v>210000</x:v>
      </x:c>
      <x:c r="G14" t="str">
        <x:v>actual</x:v>
      </x:c>
    </x:row>
    <x:row r="15" ht="15" hidden="0" customHeight="1">
      <x:c r="A15" t="n">
        <x:v>9014</x:v>
      </x:c>
      <x:c r="B15" t="str">
        <x:v>P-110</x:v>
      </x:c>
      <x:c r="C15" t="str">
        <x:v>PortSys</x:v>
      </x:c>
      <x:c r="D15" t="str">
        <x:v>Hardware</x:v>
      </x:c>
      <x:c r="E15" s="9" t="n">
        <x:v>45771</x:v>
      </x:c>
      <x:c r="F15" s="7" t="n">
        <x:v>118000</x:v>
      </x:c>
      <x:c r="G15" t="str">
        <x:v>committed</x:v>
      </x:c>
    </x:row>
    <x:row r="16" ht="15" hidden="0" customHeight="1">
      <x:c r="A16" t="n">
        <x:v>9015</x:v>
      </x:c>
      <x:c r="B16" t="str">
        <x:v>P-150</x:v>
      </x:c>
      <x:c r="C16" t="str">
        <x:v>CloudOps</x:v>
      </x:c>
      <x:c r="D16" t="str">
        <x:v>Infrastructure</x:v>
      </x:c>
      <x:c r="E16" s="9" t="n">
        <x:v>45775</x:v>
      </x:c>
      <x:c r="F16" s="7" t="n">
        <x:v>91000</x:v>
      </x:c>
      <x:c r="G16" t="str">
        <x:v>committed</x:v>
      </x:c>
    </x:row>
  </x:sheetData>
  <x:pageMargins left="0.7" right="0.7" top="0.75" bottom="0.75" header="0.3" footer="0.3"/>
  <x:tableParts count="1">
    <x:tablePart xmlns:r="http://schemas.openxmlformats.org/officeDocument/2006/relationships" r:id="Re4afc43b26054bf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.0600004196167" hidden="0" customWidth="1"/>
    <x:col min="2" max="2" width="7.849999904632568" hidden="0" customWidth="1"/>
    <x:col min="3" max="3" width="15.829999923706055" hidden="0" customWidth="1"/>
    <x:col min="4" max="4" width="10.920000076293945" hidden="0" customWidth="1"/>
    <x:col min="5" max="5" width="9.329999923706055" hidden="0" customWidth="1"/>
    <x:col min="6" max="6" width="7.480000019073486" hidden="0" customWidth="1"/>
  </x:cols>
  <x:sheetData>
    <x:row r="1" ht="15" hidden="0" customHeight="1">
      <x:c r="A1" s="6" t="str">
        <x:v>milestone_id</x:v>
      </x:c>
      <x:c r="B1" s="6" t="str">
        <x:v>project_id</x:v>
      </x:c>
      <x:c r="C1" s="6" t="str">
        <x:v>milestone_name</x:v>
      </x:c>
      <x:c r="D1" s="6" t="str">
        <x:v>planned_date</x:v>
      </x:c>
      <x:c r="E1" s="6" t="str">
        <x:v>actual_date</x:v>
      </x:c>
      <x:c r="F1" s="6" t="str">
        <x:v>status</x:v>
      </x:c>
    </x:row>
    <x:row r="2" ht="15" hidden="0" customHeight="1">
      <x:c r="A2" t="str">
        <x:v>M-001</x:v>
      </x:c>
      <x:c r="B2" t="str">
        <x:v>P-100</x:v>
      </x:c>
      <x:c r="C2" t="str">
        <x:v>Baseline audit</x:v>
      </x:c>
      <x:c r="D2" s="9" t="n">
        <x:v>45677</x:v>
      </x:c>
      <x:c r="E2" s="9" t="n">
        <x:v>45679</x:v>
      </x:c>
      <x:c r="F2" t="str">
        <x:v>complete</x:v>
      </x:c>
    </x:row>
    <x:row r="3" ht="15" hidden="0" customHeight="1">
      <x:c r="A3" t="str">
        <x:v>M-002</x:v>
      </x:c>
      <x:c r="B3" t="str">
        <x:v>P-100</x:v>
      </x:c>
      <x:c r="C3" t="str">
        <x:v>Controls installation</x:v>
      </x:c>
      <x:c r="D3" s="9" t="n">
        <x:v>45731</x:v>
      </x:c>
      <x:c r="E3" s="9"/>
      <x:c r="F3" t="str">
        <x:v>at risk</x:v>
      </x:c>
    </x:row>
    <x:row r="4" ht="15" hidden="0" customHeight="1">
      <x:c r="A4" t="str">
        <x:v>M-003</x:v>
      </x:c>
      <x:c r="B4" t="str">
        <x:v>P-110</x:v>
      </x:c>
      <x:c r="C4" t="str">
        <x:v>Vendor selection</x:v>
      </x:c>
      <x:c r="D4" s="9" t="n">
        <x:v>45688</x:v>
      </x:c>
      <x:c r="E4" s="9" t="n">
        <x:v>45686</x:v>
      </x:c>
      <x:c r="F4" t="str">
        <x:v>complete</x:v>
      </x:c>
    </x:row>
    <x:row r="5" ht="15" hidden="0" customHeight="1">
      <x:c r="A5" t="str">
        <x:v>M-004</x:v>
      </x:c>
      <x:c r="B5" t="str">
        <x:v>P-110</x:v>
      </x:c>
      <x:c r="C5" t="str">
        <x:v>Integration testing</x:v>
      </x:c>
      <x:c r="D5" s="9" t="n">
        <x:v>45762</x:v>
      </x:c>
      <x:c r="E5" s="9"/>
      <x:c r="F5" t="str">
        <x:v>on track</x:v>
      </x:c>
    </x:row>
    <x:row r="6" ht="15" hidden="0" customHeight="1">
      <x:c r="A6" t="str">
        <x:v>M-005</x:v>
      </x:c>
      <x:c r="B6" t="str">
        <x:v>P-120</x:v>
      </x:c>
      <x:c r="C6" t="str">
        <x:v>Safety assessment</x:v>
      </x:c>
      <x:c r="D6" s="9" t="n">
        <x:v>45706</x:v>
      </x:c>
      <x:c r="E6" s="9" t="n">
        <x:v>45708</x:v>
      </x:c>
      <x:c r="F6" t="str">
        <x:v>complete</x:v>
      </x:c>
    </x:row>
    <x:row r="7" ht="15" hidden="0" customHeight="1">
      <x:c r="A7" t="str">
        <x:v>M-006</x:v>
      </x:c>
      <x:c r="B7" t="str">
        <x:v>P-120</x:v>
      </x:c>
      <x:c r="C7" t="str">
        <x:v>Equipment delivery</x:v>
      </x:c>
      <x:c r="D7" s="9" t="n">
        <x:v>45749</x:v>
      </x:c>
      <x:c r="E7" s="9"/>
      <x:c r="F7" t="str">
        <x:v>at risk</x:v>
      </x:c>
    </x:row>
    <x:row r="8" ht="15" hidden="0" customHeight="1">
      <x:c r="A8" t="str">
        <x:v>M-007</x:v>
      </x:c>
      <x:c r="B8" t="str">
        <x:v>P-130</x:v>
      </x:c>
      <x:c r="C8" t="str">
        <x:v>Automation design</x:v>
      </x:c>
      <x:c r="D8" s="9" t="n">
        <x:v>45726</x:v>
      </x:c>
      <x:c r="E8" s="9" t="n">
        <x:v>45727</x:v>
      </x:c>
      <x:c r="F8" t="str">
        <x:v>complete</x:v>
      </x:c>
    </x:row>
    <x:row r="9" ht="15" hidden="0" customHeight="1">
      <x:c r="A9" t="str">
        <x:v>M-008</x:v>
      </x:c>
      <x:c r="B9" t="str">
        <x:v>P-130</x:v>
      </x:c>
      <x:c r="C9" t="str">
        <x:v>Pilot go-live</x:v>
      </x:c>
      <x:c r="D9" s="9" t="n">
        <x:v>45787</x:v>
      </x:c>
      <x:c r="E9" s="9"/>
      <x:c r="F9" t="str">
        <x:v>on track</x:v>
      </x:c>
    </x:row>
    <x:row r="10" ht="15" hidden="0" customHeight="1">
      <x:c r="A10" t="str">
        <x:v>M-009</x:v>
      </x:c>
      <x:c r="B10" t="str">
        <x:v>P-140</x:v>
      </x:c>
      <x:c r="C10" t="str">
        <x:v>Catalog profiling</x:v>
      </x:c>
      <x:c r="D10" s="9" t="n">
        <x:v>45702</x:v>
      </x:c>
      <x:c r="E10" s="9" t="n">
        <x:v>45701</x:v>
      </x:c>
      <x:c r="F10" t="str">
        <x:v>complete</x:v>
      </x:c>
    </x:row>
    <x:row r="11" ht="15" hidden="0" customHeight="1">
      <x:c r="A11" t="str">
        <x:v>M-010</x:v>
      </x:c>
      <x:c r="B11" t="str">
        <x:v>P-140</x:v>
      </x:c>
      <x:c r="C11" t="str">
        <x:v>Quality dashboards</x:v>
      </x:c>
      <x:c r="D11" s="9" t="n">
        <x:v>45777</x:v>
      </x:c>
      <x:c r="E11" s="9"/>
      <x:c r="F11" t="str">
        <x:v>on track</x:v>
      </x:c>
    </x:row>
    <x:row r="12" ht="15" hidden="0" customHeight="1">
      <x:c r="A12" t="str">
        <x:v>M-011</x:v>
      </x:c>
      <x:c r="B12" t="str">
        <x:v>P-150</x:v>
      </x:c>
      <x:c r="C12" t="str">
        <x:v>Beta release</x:v>
      </x:c>
      <x:c r="D12" s="9" t="n">
        <x:v>45744</x:v>
      </x:c>
      <x:c r="E12" s="9"/>
      <x:c r="F12" t="str">
        <x:v>at risk</x:v>
      </x:c>
    </x:row>
    <x:row r="13" ht="15" hidden="0" customHeight="1">
      <x:c r="A13" t="str">
        <x:v>M-012</x:v>
      </x:c>
      <x:c r="B13" t="str">
        <x:v>P-150</x:v>
      </x:c>
      <x:c r="C13" t="str">
        <x:v>Security review</x:v>
      </x:c>
      <x:c r="D13" s="9" t="n">
        <x:v>45797</x:v>
      </x:c>
      <x:c r="E13" s="9"/>
      <x:c r="F13" t="str">
        <x:v>on track</x:v>
      </x:c>
    </x:row>
  </x:sheetData>
  <x:pageMargins left="0.7" right="0.7" top="0.75" bottom="0.75" header="0.3" footer="0.3"/>
  <x:tableParts count="1">
    <x:tablePart xmlns:r="http://schemas.openxmlformats.org/officeDocument/2006/relationships" r:id="R821f45ecb65c4288"/>
  </x:tableParts>
</x:worksheet>
</file>