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0e7aaf498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7e45c5139d4d7d"/>
    <x:sheet xmlns:r="http://schemas.openxmlformats.org/officeDocument/2006/relationships" name="Orders" sheetId="2" r:id="R92a8b06290dd4e7b"/>
    <x:sheet xmlns:r="http://schemas.openxmlformats.org/officeDocument/2006/relationships" name="Customers" sheetId="3" r:id="R6500c6871db540d5"/>
    <x:sheet xmlns:r="http://schemas.openxmlformats.org/officeDocument/2006/relationships" name="MonthlyTargets" sheetId="4" r:id="R6a441d1babca4f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0"/>
    <x:numFmt numFmtId="202" formatCode="yyyy-mm-dd"/>
    <x:numFmt numFmtId="203" formatCode="0.0%"/>
  </x:numFmts>
  <x:fonts count="4">
    <x:font>
      <x:sz val="11"/>
      <x:name val="Carlito"/>
    </x:font>
    <x:font>
      <x:b/>
      <x:sz val="16"/>
      <x:color rgb="FFFFFF"/>
      <x:name val="Carlito"/>
    </x:font>
    <x:font>
      <x:i/>
      <x:sz val="11"/>
      <x:color rgb="14252D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4252D"/>
      </x:patternFill>
    </x:fill>
    <x:fill>
      <x:patternFill patternType="solid">
        <x:fgColor rgb="E8EDF0"/>
      </x:patternFill>
    </x:fill>
    <x:fill>
      <x:patternFill patternType="solid">
        <x:fgColor rgb="0B6574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f142b53af748bc" /><Relationship Type="http://schemas.openxmlformats.org/officeDocument/2006/relationships/theme" Target="/xl/theme/theme1.xml" Id="R0c977cc0669e4ddd" /><Relationship Type="http://schemas.openxmlformats.org/officeDocument/2006/relationships/sharedStrings" Target="/xl/sharedStrings.xml" Id="R5be39337b75e4f4b" /><Relationship Type="http://schemas.openxmlformats.org/officeDocument/2006/relationships/worksheet" Target="/xl/worksheets/sheet1.xml" Id="Raf7e45c5139d4d7d" /><Relationship Type="http://schemas.openxmlformats.org/officeDocument/2006/relationships/worksheet" Target="/xl/worksheets/sheet2.xml" Id="R92a8b06290dd4e7b" /><Relationship Type="http://schemas.openxmlformats.org/officeDocument/2006/relationships/worksheet" Target="/xl/worksheets/sheet3.xml" Id="R6500c6871db540d5" /><Relationship Type="http://schemas.openxmlformats.org/officeDocument/2006/relationships/worksheet" Target="/xl/worksheets/sheet4.xml" Id="R6a441d1babca4f08" /></Relationships>
</file>

<file path=xl/tables/table1.xml><?xml version="1.0" encoding="utf-8"?>
<x:table xmlns:x="http://schemas.openxmlformats.org/spreadsheetml/2006/main" id="1" name="OrdersTable" displayName="OrdersTable" ref="A1:H13" headerRowCount="1">
  <x:autoFilter ref="A1:H13"/>
  <x:tableColumns count="8">
    <x:tableColumn id="1" name="order_id"/>
    <x:tableColumn id="2" name="customer_id"/>
    <x:tableColumn id="3" name="product_family"/>
    <x:tableColumn id="4" name="order_date"/>
    <x:tableColumn id="5" name="revenue"/>
    <x:tableColumn id="6" name="margin_pct"/>
    <x:tableColumn id="7" name="status"/>
    <x:tableColumn id="8" name="channel"/>
  </x:tableColumns>
  <x:tableStyleInfo name="TableStyleMedium2" showRowStripes="1"/>
</x:table>
</file>

<file path=xl/tables/table2.xml><?xml version="1.0" encoding="utf-8"?>
<x:table xmlns:x="http://schemas.openxmlformats.org/spreadsheetml/2006/main" id="2" name="CustomersTable" displayName="CustomersTable" ref="A1:E9" headerRowCount="1">
  <x:autoFilter ref="A1:E9"/>
  <x:tableColumns count="5">
    <x:tableColumn id="1" name="customer_id"/>
    <x:tableColumn id="2" name="customer_name"/>
    <x:tableColumn id="3" name="region"/>
    <x:tableColumn id="4" name="segment"/>
    <x:tableColumn id="5" name="account_owner"/>
  </x:tableColumns>
  <x:tableStyleInfo name="TableStyleMedium2" showRowStripes="1"/>
</x:table>
</file>

<file path=xl/tables/table3.xml><?xml version="1.0" encoding="utf-8"?>
<x:table xmlns:x="http://schemas.openxmlformats.org/spreadsheetml/2006/main" id="3" name="TargetsTable" displayName="TargetsTable" ref="A1:C9" headerRowCount="1">
  <x:autoFilter ref="A1:C9"/>
  <x:tableColumns count="3">
    <x:tableColumn id="1" name="month"/>
    <x:tableColumn id="2" name="region"/>
    <x:tableColumn id="3" name="target_reven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e8d6cca1844b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18e744b76d47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576819e58841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.22999954223633" hidden="0" customWidth="1"/>
    <x:col min="2" max="2" width="6.989999771118164" hidden="0" customWidth="1"/>
    <x:col min="3" max="3" width="5.889999866485596" hidden="0" customWidth="1"/>
    <x:col min="4" max="4" width="19.389999389648438" hidden="0" customWidth="1"/>
  </x:cols>
  <x:sheetData>
    <x:row r="1">
      <x:c r="A1" s="2" t="str">
        <x:v>Sales Performance Example</x:v>
      </x:c>
    </x:row>
    <x:row r="2">
      <x:c r="A2" s="4" t="str">
        <x:v>Sample workbook for natural-language questions over Excel sheets.</x:v>
      </x:c>
    </x:row>
    <x:row r="4">
      <x:c r="A4" s="6" t="str">
        <x:v>Metric</x:v>
      </x:c>
      <x:c r="B4" s="6" t="str">
        <x:v>Formula</x:v>
      </x:c>
      <x:c r="C4" s="6" t="str">
        <x:v>Value</x:v>
      </x:c>
      <x:c r="D4" s="6" t="str">
        <x:v>Notes</x:v>
      </x:c>
    </x:row>
    <x:row r="5">
      <x:c r="A5" t="str">
        <x:v>Total revenue</x:v>
      </x:c>
      <x:c r="B5" t="n">
        <x:f>SUM(Orders!E2:E25)</x:f>
        <x:v>2137000</x:v>
      </x:c>
      <x:c r="C5" s="7" t="n">
        <x:f>B5</x:f>
        <x:v>2137000</x:v>
      </x:c>
      <x:c r="D5" t="str">
        <x:v>Closed and open orders</x:v>
      </x:c>
    </x:row>
    <x:row r="6">
      <x:c r="A6" t="str">
        <x:v>Closed revenue</x:v>
      </x:c>
      <x:c r="B6" t="n">
        <x:f>SUMIF(Orders!G2:G25,"closed",Orders!E2:E25)</x:f>
        <x:v>1595000</x:v>
      </x:c>
      <x:c r="C6" s="7" t="n">
        <x:f>B6</x:f>
        <x:v>1595000</x:v>
      </x:c>
      <x:c r="D6" t="str">
        <x:v>Only closed orders</x:v>
      </x:c>
    </x:row>
    <x:row r="7">
      <x:c r="A7" t="str">
        <x:v>Average order value</x:v>
      </x:c>
      <x:c r="B7" t="n">
        <x:f>AVERAGE(Orders!E2:E25)</x:f>
        <x:v>178083.33333333334</x:v>
      </x:c>
      <x:c r="C7" s="7" t="n">
        <x:f>B7</x:f>
        <x:v>178083.33333333334</x:v>
      </x:c>
      <x:c r="D7" t="str">
        <x:v>All orders</x:v>
      </x:c>
    </x:row>
    <x:row r="8">
      <x:c r="A8" t="str">
        <x:v>Open orders</x:v>
      </x:c>
      <x:c r="B8" t="n">
        <x:f>COUNTIF(Orders!G2:G25,"open")</x:f>
        <x:v>3</x:v>
      </x:c>
      <x:c r="C8" s="8" t="n">
        <x:f>B8</x:f>
        <x:v>3</x:v>
      </x:c>
      <x:c r="D8" t="str">
        <x:v>Pipeline count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9.819999694824219" hidden="0" customWidth="1"/>
    <x:col min="3" max="3" width="16.31999969482422" hidden="0" customWidth="1"/>
    <x:col min="4" max="4" width="8.59000015258789" hidden="0" customWidth="1"/>
    <x:col min="5" max="5" width="6.260000228881836" hidden="0" customWidth="1"/>
    <x:col min="6" max="6" width="8.960000038146973" hidden="0" customWidth="1"/>
    <x:col min="7" max="7" width="5.28000020980835" hidden="0" customWidth="1"/>
    <x:col min="8" max="8" width="6.260000228881836" hidden="0" customWidth="1"/>
  </x:cols>
  <x:sheetData>
    <x:row r="1" ht="15" hidden="0" customHeight="1">
      <x:c r="A1" s="6" t="str">
        <x:v>order_id</x:v>
      </x:c>
      <x:c r="B1" s="6" t="str">
        <x:v>customer_id</x:v>
      </x:c>
      <x:c r="C1" s="6" t="str">
        <x:v>product_family</x:v>
      </x:c>
      <x:c r="D1" s="6" t="str">
        <x:v>order_date</x:v>
      </x:c>
      <x:c r="E1" s="6" t="str">
        <x:v>revenue</x:v>
      </x:c>
      <x:c r="F1" s="6" t="str">
        <x:v>margin_pct</x:v>
      </x:c>
      <x:c r="G1" s="6" t="str">
        <x:v>status</x:v>
      </x:c>
      <x:c r="H1" s="6" t="str">
        <x:v>channel</x:v>
      </x:c>
    </x:row>
    <x:row r="2" ht="15" hidden="0" customHeight="1">
      <x:c r="A2" t="n">
        <x:v>1001</x:v>
      </x:c>
      <x:c r="B2" t="n">
        <x:v>1</x:v>
      </x:c>
      <x:c r="C2" t="str">
        <x:v>Specialty Chemicals</x:v>
      </x:c>
      <x:c r="D2" s="9" t="n">
        <x:v>45665</x:v>
      </x:c>
      <x:c r="E2" s="7" t="n">
        <x:v>128000</x:v>
      </x:c>
      <x:c r="F2" s="10" t="n">
        <x:v>0.31</x:v>
      </x:c>
      <x:c r="G2" t="str">
        <x:v>closed</x:v>
      </x:c>
      <x:c r="H2" t="str">
        <x:v>direct</x:v>
      </x:c>
    </x:row>
    <x:row r="3" ht="15" hidden="0" customHeight="1">
      <x:c r="A3" t="n">
        <x:v>1002</x:v>
      </x:c>
      <x:c r="B3" t="n">
        <x:v>2</x:v>
      </x:c>
      <x:c r="C3" t="str">
        <x:v>Polymers</x:v>
      </x:c>
      <x:c r="D3" s="9" t="n">
        <x:v>45671</x:v>
      </x:c>
      <x:c r="E3" s="7" t="n">
        <x:v>214000</x:v>
      </x:c>
      <x:c r="F3" s="10" t="n">
        <x:v>0.24</x:v>
      </x:c>
      <x:c r="G3" t="str">
        <x:v>closed</x:v>
      </x:c>
      <x:c r="H3" t="str">
        <x:v>partner</x:v>
      </x:c>
    </x:row>
    <x:row r="4" ht="15" hidden="0" customHeight="1">
      <x:c r="A4" t="n">
        <x:v>1003</x:v>
      </x:c>
      <x:c r="B4" t="n">
        <x:v>3</x:v>
      </x:c>
      <x:c r="C4" t="str">
        <x:v>Agri-Nutrients</x:v>
      </x:c>
      <x:c r="D4" s="9" t="n">
        <x:v>45681</x:v>
      </x:c>
      <x:c r="E4" s="7" t="n">
        <x:v>98000</x:v>
      </x:c>
      <x:c r="F4" s="10" t="n">
        <x:v>0.27</x:v>
      </x:c>
      <x:c r="G4" t="str">
        <x:v>open</x:v>
      </x:c>
      <x:c r="H4" t="str">
        <x:v>direct</x:v>
      </x:c>
    </x:row>
    <x:row r="5" ht="15" hidden="0" customHeight="1">
      <x:c r="A5" t="n">
        <x:v>1004</x:v>
      </x:c>
      <x:c r="B5" t="n">
        <x:v>4</x:v>
      </x:c>
      <x:c r="C5" t="str">
        <x:v>Metals</x:v>
      </x:c>
      <x:c r="D5" s="9" t="n">
        <x:v>45691</x:v>
      </x:c>
      <x:c r="E5" s="7" t="n">
        <x:v>176000</x:v>
      </x:c>
      <x:c r="F5" s="10" t="n">
        <x:v>0.19</x:v>
      </x:c>
      <x:c r="G5" t="str">
        <x:v>closed</x:v>
      </x:c>
      <x:c r="H5" t="str">
        <x:v>direct</x:v>
      </x:c>
    </x:row>
    <x:row r="6" ht="15" hidden="0" customHeight="1">
      <x:c r="A6" t="n">
        <x:v>1005</x:v>
      </x:c>
      <x:c r="B6" t="n">
        <x:v>5</x:v>
      </x:c>
      <x:c r="C6" t="str">
        <x:v>Polymers</x:v>
      </x:c>
      <x:c r="D6" s="9" t="n">
        <x:v>45699</x:v>
      </x:c>
      <x:c r="E6" s="7" t="n">
        <x:v>241000</x:v>
      </x:c>
      <x:c r="F6" s="10" t="n">
        <x:v>0.28</x:v>
      </x:c>
      <x:c r="G6" t="str">
        <x:v>closed</x:v>
      </x:c>
      <x:c r="H6" t="str">
        <x:v>partner</x:v>
      </x:c>
    </x:row>
    <x:row r="7" ht="15" hidden="0" customHeight="1">
      <x:c r="A7" t="n">
        <x:v>1006</x:v>
      </x:c>
      <x:c r="B7" t="n">
        <x:v>1</x:v>
      </x:c>
      <x:c r="C7" t="str">
        <x:v>Specialty Chemicals</x:v>
      </x:c>
      <x:c r="D7" s="9" t="n">
        <x:v>45708</x:v>
      </x:c>
      <x:c r="E7" s="7" t="n">
        <x:v>133000</x:v>
      </x:c>
      <x:c r="F7" s="10" t="n">
        <x:v>0.33</x:v>
      </x:c>
      <x:c r="G7" t="str">
        <x:v>closed</x:v>
      </x:c>
      <x:c r="H7" t="str">
        <x:v>direct</x:v>
      </x:c>
    </x:row>
    <x:row r="8" ht="15" hidden="0" customHeight="1">
      <x:c r="A8" t="n">
        <x:v>1007</x:v>
      </x:c>
      <x:c r="B8" t="n">
        <x:v>6</x:v>
      </x:c>
      <x:c r="C8" t="str">
        <x:v>Agri-Nutrients</x:v>
      </x:c>
      <x:c r="D8" s="9" t="n">
        <x:v>45721</x:v>
      </x:c>
      <x:c r="E8" s="7" t="n">
        <x:v>187000</x:v>
      </x:c>
      <x:c r="F8" s="10" t="n">
        <x:v>0.25</x:v>
      </x:c>
      <x:c r="G8" t="str">
        <x:v>open</x:v>
      </x:c>
      <x:c r="H8" t="str">
        <x:v>partner</x:v>
      </x:c>
    </x:row>
    <x:row r="9" ht="15" hidden="0" customHeight="1">
      <x:c r="A9" t="n">
        <x:v>1008</x:v>
      </x:c>
      <x:c r="B9" t="n">
        <x:v>2</x:v>
      </x:c>
      <x:c r="C9" t="str">
        <x:v>Polymers</x:v>
      </x:c>
      <x:c r="D9" s="9" t="n">
        <x:v>45731</x:v>
      </x:c>
      <x:c r="E9" s="7" t="n">
        <x:v>229000</x:v>
      </x:c>
      <x:c r="F9" s="10" t="n">
        <x:v>0.26</x:v>
      </x:c>
      <x:c r="G9" t="str">
        <x:v>closed</x:v>
      </x:c>
      <x:c r="H9" t="str">
        <x:v>direct</x:v>
      </x:c>
    </x:row>
    <x:row r="10" ht="15" hidden="0" customHeight="1">
      <x:c r="A10" t="n">
        <x:v>1009</x:v>
      </x:c>
      <x:c r="B10" t="n">
        <x:v>7</x:v>
      </x:c>
      <x:c r="C10" t="str">
        <x:v>Metals</x:v>
      </x:c>
      <x:c r="D10" s="9" t="n">
        <x:v>45737</x:v>
      </x:c>
      <x:c r="E10" s="7" t="n">
        <x:v>151000</x:v>
      </x:c>
      <x:c r="F10" s="10" t="n">
        <x:v>0.22</x:v>
      </x:c>
      <x:c r="G10" t="str">
        <x:v>closed</x:v>
      </x:c>
      <x:c r="H10" t="str">
        <x:v>direct</x:v>
      </x:c>
    </x:row>
    <x:row r="11" ht="15" hidden="0" customHeight="1">
      <x:c r="A11" t="n">
        <x:v>1010</x:v>
      </x:c>
      <x:c r="B11" t="n">
        <x:v>8</x:v>
      </x:c>
      <x:c r="C11" t="str">
        <x:v>Specialty Chemicals</x:v>
      </x:c>
      <x:c r="D11" s="9" t="n">
        <x:v>45751</x:v>
      </x:c>
      <x:c r="E11" s="7" t="n">
        <x:v>119000</x:v>
      </x:c>
      <x:c r="F11" s="10" t="n">
        <x:v>0.35</x:v>
      </x:c>
      <x:c r="G11" t="str">
        <x:v>closed</x:v>
      </x:c>
      <x:c r="H11" t="str">
        <x:v>partner</x:v>
      </x:c>
    </x:row>
    <x:row r="12" ht="15" hidden="0" customHeight="1">
      <x:c r="A12" t="n">
        <x:v>1011</x:v>
      </x:c>
      <x:c r="B12" t="n">
        <x:v>3</x:v>
      </x:c>
      <x:c r="C12" t="str">
        <x:v>Agri-Nutrients</x:v>
      </x:c>
      <x:c r="D12" s="9" t="n">
        <x:v>45763</x:v>
      </x:c>
      <x:c r="E12" s="7" t="n">
        <x:v>204000</x:v>
      </x:c>
      <x:c r="F12" s="10" t="n">
        <x:v>0.23</x:v>
      </x:c>
      <x:c r="G12" t="str">
        <x:v>closed</x:v>
      </x:c>
      <x:c r="H12" t="str">
        <x:v>direct</x:v>
      </x:c>
    </x:row>
    <x:row r="13" ht="15" hidden="0" customHeight="1">
      <x:c r="A13" t="n">
        <x:v>1012</x:v>
      </x:c>
      <x:c r="B13" t="n">
        <x:v>5</x:v>
      </x:c>
      <x:c r="C13" t="str">
        <x:v>Polymers</x:v>
      </x:c>
      <x:c r="D13" s="9" t="n">
        <x:v>45773</x:v>
      </x:c>
      <x:c r="E13" s="7" t="n">
        <x:v>257000</x:v>
      </x:c>
      <x:c r="F13" s="10" t="n">
        <x:v>0.27</x:v>
      </x:c>
      <x:c r="G13" t="str">
        <x:v>open</x:v>
      </x:c>
      <x:c r="H13" t="str">
        <x:v>partner</x:v>
      </x:c>
    </x:row>
  </x:sheetData>
  <x:pageMargins left="0.7" right="0.7" top="0.75" bottom="0.75" header="0.3" footer="0.3"/>
  <x:tableParts count="1">
    <x:tablePart xmlns:r="http://schemas.openxmlformats.org/officeDocument/2006/relationships" r:id="Raee8d6cca1844b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819999694824219" hidden="0" customWidth="1"/>
    <x:col min="2" max="2" width="20.25" hidden="0" customWidth="1"/>
    <x:col min="3" max="3" width="11.529999732971191" hidden="0" customWidth="1"/>
    <x:col min="4" max="4" width="11.529999732971191" hidden="0" customWidth="1"/>
    <x:col min="5" max="5" width="12.270000457763672" hidden="0" customWidth="1"/>
  </x:cols>
  <x:sheetData>
    <x:row r="1" ht="15" hidden="0" customHeight="1">
      <x:c r="A1" s="6" t="str">
        <x:v>customer_id</x:v>
      </x:c>
      <x:c r="B1" s="6" t="str">
        <x:v>customer_name</x:v>
      </x:c>
      <x:c r="C1" s="6" t="str">
        <x:v>region</x:v>
      </x:c>
      <x:c r="D1" s="6" t="str">
        <x:v>segment</x:v>
      </x:c>
      <x:c r="E1" s="6" t="str">
        <x:v>account_owner</x:v>
      </x:c>
    </x:row>
    <x:row r="2" ht="15" hidden="0" customHeight="1">
      <x:c r="A2" t="n">
        <x:v>1</x:v>
      </x:c>
      <x:c r="B2" t="str">
        <x:v>Northwind Components</x:v>
      </x:c>
      <x:c r="C2" t="str">
        <x:v>North America</x:v>
      </x:c>
      <x:c r="D2" t="str">
        <x:v>Industrial</x:v>
      </x:c>
      <x:c r="E2" t="str">
        <x:v>Avery</x:v>
      </x:c>
    </x:row>
    <x:row r="3" ht="15" hidden="0" customHeight="1">
      <x:c r="A3" t="n">
        <x:v>2</x:v>
      </x:c>
      <x:c r="B3" t="str">
        <x:v>Contoso Energy</x:v>
      </x:c>
      <x:c r="C3" t="str">
        <x:v>Middle East</x:v>
      </x:c>
      <x:c r="D3" t="str">
        <x:v>Energy</x:v>
      </x:c>
      <x:c r="E3" t="str">
        <x:v>Morgan</x:v>
      </x:c>
    </x:row>
    <x:row r="4" ht="15" hidden="0" customHeight="1">
      <x:c r="A4" t="n">
        <x:v>3</x:v>
      </x:c>
      <x:c r="B4" t="str">
        <x:v>Fabrikam Logistics</x:v>
      </x:c>
      <x:c r="C4" t="str">
        <x:v>Europe</x:v>
      </x:c>
      <x:c r="D4" t="str">
        <x:v>Logistics</x:v>
      </x:c>
      <x:c r="E4" t="str">
        <x:v>Riley</x:v>
      </x:c>
    </x:row>
    <x:row r="5" ht="15" hidden="0" customHeight="1">
      <x:c r="A5" t="n">
        <x:v>4</x:v>
      </x:c>
      <x:c r="B5" t="str">
        <x:v>Alpine Materials</x:v>
      </x:c>
      <x:c r="C5" t="str">
        <x:v>Asia Pacific</x:v>
      </x:c>
      <x:c r="D5" t="str">
        <x:v>Construction</x:v>
      </x:c>
      <x:c r="E5" t="str">
        <x:v>Sam</x:v>
      </x:c>
    </x:row>
    <x:row r="6" ht="15" hidden="0" customHeight="1">
      <x:c r="A6" t="n">
        <x:v>5</x:v>
      </x:c>
      <x:c r="B6" t="str">
        <x:v>Blue River Manufacturing</x:v>
      </x:c>
      <x:c r="C6" t="str">
        <x:v>North America</x:v>
      </x:c>
      <x:c r="D6" t="str">
        <x:v>Manufacturing</x:v>
      </x:c>
      <x:c r="E6" t="str">
        <x:v>Jordan</x:v>
      </x:c>
    </x:row>
    <x:row r="7" ht="15" hidden="0" customHeight="1">
      <x:c r="A7" t="n">
        <x:v>6</x:v>
      </x:c>
      <x:c r="B7" t="str">
        <x:v>Desert Star Trading</x:v>
      </x:c>
      <x:c r="C7" t="str">
        <x:v>Middle East</x:v>
      </x:c>
      <x:c r="D7" t="str">
        <x:v>Distribution</x:v>
      </x:c>
      <x:c r="E7" t="str">
        <x:v>Casey</x:v>
      </x:c>
    </x:row>
    <x:row r="8" ht="15" hidden="0" customHeight="1">
      <x:c r="A8" t="n">
        <x:v>7</x:v>
      </x:c>
      <x:c r="B8" t="str">
        <x:v>Evergreen Packaging</x:v>
      </x:c>
      <x:c r="C8" t="str">
        <x:v>Europe</x:v>
      </x:c>
      <x:c r="D8" t="str">
        <x:v>Packaging</x:v>
      </x:c>
      <x:c r="E8" t="str">
        <x:v>Taylor</x:v>
      </x:c>
    </x:row>
    <x:row r="9" ht="15" hidden="0" customHeight="1">
      <x:c r="A9" t="n">
        <x:v>8</x:v>
      </x:c>
      <x:c r="B9" t="str">
        <x:v>Harbor Processors</x:v>
      </x:c>
      <x:c r="C9" t="str">
        <x:v>Asia Pacific</x:v>
      </x:c>
      <x:c r="D9" t="str">
        <x:v>Industrial</x:v>
      </x:c>
      <x:c r="E9" t="str">
        <x:v>Quinn</x:v>
      </x:c>
    </x:row>
  </x:sheetData>
  <x:pageMargins left="0.7" right="0.7" top="0.75" bottom="0.75" header="0.3" footer="0.3"/>
  <x:tableParts count="1">
    <x:tablePart xmlns:r="http://schemas.openxmlformats.org/officeDocument/2006/relationships" r:id="R8e18e744b76d47c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.03000020980835" hidden="0" customWidth="1"/>
    <x:col min="2" max="2" width="11.529999732971191" hidden="0" customWidth="1"/>
    <x:col min="3" max="3" width="11.899999618530273" hidden="0" customWidth="1"/>
  </x:cols>
  <x:sheetData>
    <x:row r="1" ht="15" hidden="0" customHeight="1">
      <x:c r="A1" s="6" t="str">
        <x:v>month</x:v>
      </x:c>
      <x:c r="B1" s="6" t="str">
        <x:v>region</x:v>
      </x:c>
      <x:c r="C1" s="6" t="str">
        <x:v>target_revenue</x:v>
      </x:c>
    </x:row>
    <x:row r="2" ht="15" hidden="0" customHeight="1">
      <x:c r="A2" s="9" t="n">
        <x:v>45658</x:v>
      </x:c>
      <x:c r="B2" t="str">
        <x:v>North America</x:v>
      </x:c>
      <x:c r="C2" s="7" t="n">
        <x:v>300000</x:v>
      </x:c>
    </x:row>
    <x:row r="3" ht="15" hidden="0" customHeight="1">
      <x:c r="A3" s="9" t="n">
        <x:v>45658</x:v>
      </x:c>
      <x:c r="B3" t="str">
        <x:v>Middle East</x:v>
      </x:c>
      <x:c r="C3" s="7" t="n">
        <x:v>250000</x:v>
      </x:c>
    </x:row>
    <x:row r="4" ht="15" hidden="0" customHeight="1">
      <x:c r="A4" s="9" t="n">
        <x:v>45689</x:v>
      </x:c>
      <x:c r="B4" t="str">
        <x:v>North America</x:v>
      </x:c>
      <x:c r="C4" s="7" t="n">
        <x:v>340000</x:v>
      </x:c>
    </x:row>
    <x:row r="5" ht="15" hidden="0" customHeight="1">
      <x:c r="A5" s="9" t="n">
        <x:v>45689</x:v>
      </x:c>
      <x:c r="B5" t="str">
        <x:v>Asia Pacific</x:v>
      </x:c>
      <x:c r="C5" s="7" t="n">
        <x:v>180000</x:v>
      </x:c>
    </x:row>
    <x:row r="6" ht="15" hidden="0" customHeight="1">
      <x:c r="A6" s="9" t="n">
        <x:v>45717</x:v>
      </x:c>
      <x:c r="B6" t="str">
        <x:v>Europe</x:v>
      </x:c>
      <x:c r="C6" s="7" t="n">
        <x:v>220000</x:v>
      </x:c>
    </x:row>
    <x:row r="7" ht="15" hidden="0" customHeight="1">
      <x:c r="A7" s="9" t="n">
        <x:v>45717</x:v>
      </x:c>
      <x:c r="B7" t="str">
        <x:v>Middle East</x:v>
      </x:c>
      <x:c r="C7" s="7" t="n">
        <x:v>280000</x:v>
      </x:c>
    </x:row>
    <x:row r="8" ht="15" hidden="0" customHeight="1">
      <x:c r="A8" s="9" t="n">
        <x:v>45748</x:v>
      </x:c>
      <x:c r="B8" t="str">
        <x:v>North America</x:v>
      </x:c>
      <x:c r="C8" s="7" t="n">
        <x:v>360000</x:v>
      </x:c>
    </x:row>
    <x:row r="9" ht="15" hidden="0" customHeight="1">
      <x:c r="A9" s="9" t="n">
        <x:v>45748</x:v>
      </x:c>
      <x:c r="B9" t="str">
        <x:v>Asia Pacific</x:v>
      </x:c>
      <x:c r="C9" s="7" t="n">
        <x:v>210000</x:v>
      </x:c>
    </x:row>
  </x:sheetData>
  <x:pageMargins left="0.7" right="0.7" top="0.75" bottom="0.75" header="0.3" footer="0.3"/>
  <x:tableParts count="1">
    <x:tablePart xmlns:r="http://schemas.openxmlformats.org/officeDocument/2006/relationships" r:id="R08576819e5884142"/>
  </x:tableParts>
</x:worksheet>
</file>